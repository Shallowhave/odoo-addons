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生产报表" sheetId="3" r:id="rId1"/>
    <sheet name="现有成品库存表" sheetId="4" r:id="rId2"/>
    <sheet name="原膜汇总表" sheetId="5" r:id="rId3"/>
    <sheet name="现有原膜库存表" sheetId="6" r:id="rId4"/>
    <sheet name="原液来料汇总报表" sheetId="7" r:id="rId5"/>
    <sheet name="现有涂液库存表" sheetId="8" r:id="rId6"/>
  </sheets>
  <definedNames>
    <definedName name="_xlnm._FilterDatabase" localSheetId="0" hidden="1">生产报表!$A$2:$L$2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<sst xmlns="http://schemas.openxmlformats.org/spreadsheetml/2006/main" count="124" uniqueCount="69">
  <si>
    <t>生  产  报  表</t>
  </si>
  <si>
    <t>产品型号</t>
  </si>
  <si>
    <t>基膜品名</t>
  </si>
  <si>
    <t>厚度
(μm)</t>
  </si>
  <si>
    <t>宽度(mm)</t>
  </si>
  <si>
    <t>原膜批号</t>
  </si>
  <si>
    <t>成品批号</t>
  </si>
  <si>
    <t>米数</t>
  </si>
  <si>
    <t>实际米数</t>
  </si>
  <si>
    <t>平方米数</t>
  </si>
  <si>
    <t>良品率</t>
  </si>
  <si>
    <t>品质说明</t>
  </si>
  <si>
    <t>备注</t>
  </si>
  <si>
    <t>XQ188*1020*1200K1Z-1HGY08-HW-5</t>
  </si>
  <si>
    <t>188PY2M</t>
  </si>
  <si>
    <t>188PY2M5004260406a310204</t>
  </si>
  <si>
    <t>MXQ2607291524A09</t>
  </si>
  <si>
    <t>188PY2M5004260405c309704</t>
  </si>
  <si>
    <t>MXQ2607291524A10</t>
  </si>
  <si>
    <t>合计：</t>
  </si>
  <si>
    <t>现 有 成 品 库 存 表</t>
  </si>
  <si>
    <t>序号</t>
  </si>
  <si>
    <t>产品名称</t>
  </si>
  <si>
    <r>
      <rPr>
        <sz val="11"/>
        <rFont val="宋体"/>
        <charset val="134"/>
      </rPr>
      <t>厚度/</t>
    </r>
    <r>
      <rPr>
        <sz val="11"/>
        <rFont val="Microsoft YaHei"/>
        <charset val="134"/>
      </rPr>
      <t>μm</t>
    </r>
  </si>
  <si>
    <r>
      <rPr>
        <sz val="11"/>
        <rFont val="宋体"/>
        <charset val="134"/>
      </rPr>
      <t>宽度/</t>
    </r>
    <r>
      <rPr>
        <sz val="11"/>
        <rFont val="SimSun"/>
        <charset val="134"/>
      </rPr>
      <t>㎜</t>
    </r>
  </si>
  <si>
    <t>米数/m</t>
  </si>
  <si>
    <t>数量</t>
  </si>
  <si>
    <t>重量（净重吨）</t>
  </si>
  <si>
    <t>XQ188*1020*1200K1Z-1HGY02-HW-5</t>
  </si>
  <si>
    <t>MXQ2606241835A04</t>
  </si>
  <si>
    <t>MXQ2606241835A05</t>
  </si>
  <si>
    <t>MXQ2606241835A06</t>
  </si>
  <si>
    <t>MXQ2606241835A07</t>
  </si>
  <si>
    <t>XQ250*1020K1Z-1HGY08-HW-5</t>
  </si>
  <si>
    <t>MXQ2606241836A09</t>
  </si>
  <si>
    <t>合计</t>
  </si>
  <si>
    <t>原 膜 汇 总 表</t>
  </si>
  <si>
    <t>到货日期</t>
  </si>
  <si>
    <t>厚度</t>
  </si>
  <si>
    <t>宽度</t>
  </si>
  <si>
    <t>等级</t>
  </si>
  <si>
    <t>产品状况</t>
  </si>
  <si>
    <t>2024.2.28</t>
  </si>
  <si>
    <t>125PY2M</t>
  </si>
  <si>
    <t>A极品</t>
  </si>
  <si>
    <t>5008240204c3113</t>
  </si>
  <si>
    <t>3号位</t>
  </si>
  <si>
    <t>仪化东丽</t>
  </si>
  <si>
    <t>5008240214a5038</t>
  </si>
  <si>
    <t>勤邦</t>
  </si>
  <si>
    <t>现 有 原 膜 库 存 表</t>
  </si>
  <si>
    <t>5008240204c5113</t>
  </si>
  <si>
    <t>5号位</t>
  </si>
  <si>
    <t>原 液 来 料 汇 总 表</t>
  </si>
  <si>
    <t>物料型号</t>
  </si>
  <si>
    <t>数量(KG）</t>
  </si>
  <si>
    <t>批号</t>
  </si>
  <si>
    <t>供应商名称</t>
  </si>
  <si>
    <t>HC-235-1</t>
  </si>
  <si>
    <t>SMT20260801</t>
  </si>
  <si>
    <t>广州XXX</t>
  </si>
  <si>
    <t>SW1H-19L-1</t>
  </si>
  <si>
    <t>SW20260801</t>
  </si>
  <si>
    <t>广州YYY</t>
  </si>
  <si>
    <t>现 有 涂 液 库 存 表</t>
  </si>
  <si>
    <t>剩余数量(KG)</t>
  </si>
  <si>
    <t>2HKYS04</t>
  </si>
  <si>
    <t>XQ20260801</t>
  </si>
  <si>
    <t>2HKYS05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</si>
</sst>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9.5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icrosoft YaHei"/>
      <charset val="134"/>
    </font>
    <font>
      <sz val="1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4" borderId="8">
      <alignment vertical="center"/>
    </xf>
    <xf numFmtId="0" fontId="21" fillId="5" borderId="9">
      <alignment vertical="center"/>
    </xf>
    <xf numFmtId="0" fontId="22" fillId="5" borderId="8">
      <alignment vertical="center"/>
    </xf>
    <xf numFmtId="0" fontId="23" fillId="6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0" fontId="8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wrapText="1" shrinkToFit="1"/>
    </xf>
    <xf numFmtId="10" fontId="10" fillId="2" borderId="0" xfId="0" applyNumberFormat="1" applyFont="1" applyFill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H14" sqref="H14"/>
    </sheetView>
  </sheetViews>
  <sheetFormatPr defaultColWidth="9" defaultRowHeight="21" customHeight="1"/>
  <cols>
    <col min="1" max="1" width="41.9083333333333" customWidth="1"/>
    <col min="2" max="2" width="13.0916666666667" customWidth="1"/>
    <col min="5" max="5" width="36.1833333333333" customWidth="1"/>
    <col min="6" max="6" width="23.5416666666667" customWidth="1"/>
    <col min="7" max="8" width="13.1833333333333" customWidth="1"/>
    <col min="9" max="9" width="14.5416666666667" customWidth="1"/>
    <col min="10" max="10" width="12.625" style="17"/>
    <col min="11" max="11" width="16.275" customWidth="1"/>
  </cols>
  <sheetData>
    <row r="1" ht="42" customHeight="1" spans="1:12">
      <c r="A1" s="18" t="s">
        <v>0</v>
      </c>
      <c r="B1" s="3"/>
      <c r="C1" s="3"/>
      <c r="D1" s="3"/>
      <c r="E1" s="3"/>
      <c r="F1" s="3"/>
      <c r="G1" s="3"/>
      <c r="H1" s="3"/>
      <c r="I1" s="3"/>
      <c r="J1" s="19"/>
      <c r="K1" s="3"/>
      <c r="L1" s="3"/>
    </row>
    <row r="2" customHeight="1" spans="1:12">
      <c r="A2" s="20" t="s">
        <v>1</v>
      </c>
      <c r="B2" s="21" t="s">
        <v>2</v>
      </c>
      <c r="C2" s="22" t="s">
        <v>3</v>
      </c>
      <c r="D2" s="22" t="s">
        <v>4</v>
      </c>
      <c r="E2" s="21" t="s">
        <v>5</v>
      </c>
      <c r="F2" s="21" t="s">
        <v>6</v>
      </c>
      <c r="G2" s="22" t="s">
        <v>7</v>
      </c>
      <c r="H2" s="22" t="s">
        <v>8</v>
      </c>
      <c r="I2" s="22" t="s">
        <v>9</v>
      </c>
      <c r="J2" s="23" t="s">
        <v>10</v>
      </c>
      <c r="K2" s="24" t="s">
        <v>11</v>
      </c>
      <c r="L2" s="24" t="s">
        <v>12</v>
      </c>
    </row>
    <row r="3" customHeight="1" spans="1:12">
      <c r="A3" s="25" t="s">
        <v>13</v>
      </c>
      <c r="B3" s="25" t="s">
        <v>14</v>
      </c>
      <c r="C3" s="25">
        <v>188</v>
      </c>
      <c r="D3" s="25">
        <v>1020</v>
      </c>
      <c r="E3" s="25" t="s">
        <v>15</v>
      </c>
      <c r="F3" s="25" t="s">
        <v>16</v>
      </c>
      <c r="G3" s="25">
        <v>1200</v>
      </c>
      <c r="H3" s="25">
        <v>1210</v>
      </c>
      <c r="I3" s="26">
        <f>D3*H3/1000</f>
        <v>1234.2</v>
      </c>
      <c r="J3" s="19">
        <f>H3/G3*100%</f>
        <v>1.00833333333333</v>
      </c>
    </row>
    <row r="4" customHeight="1" spans="1:12">
      <c r="A4" s="25" t="s">
        <v>13</v>
      </c>
      <c r="B4" s="25" t="s">
        <v>14</v>
      </c>
      <c r="C4" s="25">
        <v>188</v>
      </c>
      <c r="D4" s="25">
        <v>1020</v>
      </c>
      <c r="E4" s="25" t="s">
        <v>17</v>
      </c>
      <c r="F4" s="25" t="s">
        <v>18</v>
      </c>
      <c r="G4" s="25">
        <v>1200</v>
      </c>
      <c r="H4" s="25">
        <v>1207</v>
      </c>
      <c r="I4" s="26">
        <f>D4*H4/1000</f>
        <v>1231.14</v>
      </c>
      <c r="J4" s="19">
        <f>H4/G4*100%</f>
        <v>1.00583333333333</v>
      </c>
    </row>
    <row r="5" customHeight="1" spans="1:12">
      <c r="I5" s="26"/>
      <c r="J5" s="19"/>
    </row>
    <row r="6" customHeight="1" spans="1:12">
      <c r="A6" s="27" t="s">
        <v>19</v>
      </c>
      <c r="B6" s="27"/>
      <c r="C6" s="27"/>
      <c r="D6" s="27"/>
      <c r="E6" s="27"/>
      <c r="F6" s="27"/>
      <c r="G6" s="26">
        <f>SUM(G3:G5)</f>
        <v>2400</v>
      </c>
      <c r="H6" s="26">
        <f>SUM(H3:H5)</f>
        <v>2417</v>
      </c>
      <c r="I6" s="26">
        <f>SUM(I3:I5)</f>
        <v>2465.34</v>
      </c>
      <c r="J6" s="19">
        <f>AVERAGE(J3:J5)</f>
        <v>1.00708333333333</v>
      </c>
    </row>
    <row r="7" customHeight="1" spans="1:12">
      <c r="I7" s="26"/>
    </row>
    <row r="8" customHeight="1" spans="1:12">
      <c r="I8" s="26"/>
    </row>
    <row r="9" customHeight="1" spans="1:12">
      <c r="I9" s="26"/>
    </row>
    <row r="10" customHeight="1" spans="1:12">
      <c r="I10" s="26"/>
    </row>
    <row r="11" customHeight="1" spans="1:12">
      <c r="I11" s="26"/>
    </row>
    <row r="12" customHeight="1" spans="1:12">
      <c r="I12" s="26"/>
    </row>
    <row r="13" customHeight="1" spans="1:12">
      <c r="I13" s="26"/>
    </row>
    <row r="14" customHeight="1" spans="1:12">
      <c r="I14" s="26"/>
    </row>
    <row r="15" customHeight="1" spans="1:12">
      <c r="I15" s="26"/>
    </row>
    <row r="16" customHeight="1" spans="1:12">
      <c r="I16" s="26"/>
    </row>
    <row r="17" customHeight="1" spans="9:9">
      <c r="I17" s="26"/>
    </row>
    <row r="18" customHeight="1" spans="9:9">
      <c r="I18" s="26"/>
    </row>
    <row r="19" customHeight="1" spans="9:9">
      <c r="I19" s="26"/>
    </row>
    <row r="20" customHeight="1" spans="9:9">
      <c r="I20" s="26"/>
    </row>
    <row r="21" customHeight="1" spans="9:9">
      <c r="I21" s="26"/>
    </row>
    <row r="22" customHeight="1" spans="9:9">
      <c r="I22" s="26"/>
    </row>
    <row r="23" customHeight="1" spans="9:9">
      <c r="I23" s="26"/>
    </row>
  </sheetData>
  <mergeCells count="2">
    <mergeCell ref="A1:L1"/>
    <mergeCell ref="A6:F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N27" sqref="N27"/>
    </sheetView>
  </sheetViews>
  <sheetFormatPr defaultColWidth="9" defaultRowHeight="13.5" outlineLevelRow="7"/>
  <cols>
    <col min="2" max="2" width="31.625" customWidth="1"/>
    <col min="6" max="6" width="26.625" customWidth="1"/>
    <col min="7" max="7" width="11.375" customWidth="1"/>
    <col min="8" max="8" width="16" customWidth="1"/>
  </cols>
  <sheetData>
    <row r="1" ht="60" customHeight="1" spans="1:9">
      <c r="A1" s="2" t="s">
        <v>20</v>
      </c>
      <c r="B1" s="3"/>
      <c r="C1" s="3"/>
      <c r="D1" s="3"/>
      <c r="E1" s="3"/>
      <c r="F1" s="3"/>
      <c r="G1" s="3"/>
      <c r="H1" s="3"/>
      <c r="I1" s="3"/>
    </row>
    <row r="2" ht="25" customHeight="1" spans="1:9">
      <c r="A2" s="10" t="s">
        <v>21</v>
      </c>
      <c r="B2" s="11" t="s">
        <v>22</v>
      </c>
      <c r="C2" s="12" t="s">
        <v>23</v>
      </c>
      <c r="D2" s="12" t="s">
        <v>24</v>
      </c>
      <c r="E2" s="12" t="s">
        <v>25</v>
      </c>
      <c r="F2" s="7" t="s">
        <v>6</v>
      </c>
      <c r="G2" s="7" t="s">
        <v>26</v>
      </c>
      <c r="H2" s="6" t="s">
        <v>27</v>
      </c>
      <c r="I2" s="4" t="s">
        <v>12</v>
      </c>
    </row>
    <row r="3" ht="16" customHeight="1" spans="1:9">
      <c r="A3" s="10">
        <v>1</v>
      </c>
      <c r="B3" s="13" t="s">
        <v>28</v>
      </c>
      <c r="C3" s="13">
        <v>188</v>
      </c>
      <c r="D3" s="13">
        <v>1020</v>
      </c>
      <c r="E3" s="13">
        <v>1207</v>
      </c>
      <c r="F3" s="13" t="s">
        <v>29</v>
      </c>
      <c r="G3" s="7">
        <f t="shared" ref="G3:G7" si="0">D3*E3/1000</f>
        <v>1231.14</v>
      </c>
      <c r="H3" s="14">
        <f t="shared" ref="H3:H7" si="1">SUM(C3*D3*E3*1.4/1000/1000)</f>
        <v>324.036048</v>
      </c>
      <c r="I3" s="15"/>
    </row>
    <row r="4" ht="16" customHeight="1" spans="1:9">
      <c r="A4" s="10">
        <v>2</v>
      </c>
      <c r="B4" s="13" t="s">
        <v>28</v>
      </c>
      <c r="C4" s="13">
        <v>188</v>
      </c>
      <c r="D4" s="13">
        <v>1020</v>
      </c>
      <c r="E4" s="13">
        <v>1210</v>
      </c>
      <c r="F4" s="13" t="s">
        <v>30</v>
      </c>
      <c r="G4" s="7">
        <f t="shared" si="0"/>
        <v>1234.2</v>
      </c>
      <c r="H4" s="14">
        <f t="shared" si="1"/>
        <v>324.84144</v>
      </c>
      <c r="I4" s="15"/>
    </row>
    <row r="5" ht="16" customHeight="1" spans="1:9">
      <c r="A5" s="10">
        <v>3</v>
      </c>
      <c r="B5" s="13" t="s">
        <v>28</v>
      </c>
      <c r="C5" s="13">
        <v>188</v>
      </c>
      <c r="D5" s="13">
        <v>1020</v>
      </c>
      <c r="E5" s="13">
        <v>1209</v>
      </c>
      <c r="F5" s="13" t="s">
        <v>31</v>
      </c>
      <c r="G5" s="7">
        <f t="shared" si="0"/>
        <v>1233.18</v>
      </c>
      <c r="H5" s="14">
        <f t="shared" si="1"/>
        <v>324.572976</v>
      </c>
      <c r="I5" s="15"/>
    </row>
    <row r="6" ht="16" customHeight="1" spans="1:9">
      <c r="A6" s="10">
        <v>4</v>
      </c>
      <c r="B6" s="13" t="s">
        <v>28</v>
      </c>
      <c r="C6" s="13">
        <v>188</v>
      </c>
      <c r="D6" s="13">
        <v>1020</v>
      </c>
      <c r="E6" s="13">
        <v>1207</v>
      </c>
      <c r="F6" s="13" t="s">
        <v>32</v>
      </c>
      <c r="G6" s="7">
        <f t="shared" si="0"/>
        <v>1231.14</v>
      </c>
      <c r="H6" s="14">
        <f t="shared" si="1"/>
        <v>324.036048</v>
      </c>
      <c r="I6" s="15"/>
    </row>
    <row r="7" ht="16" customHeight="1" spans="1:9">
      <c r="A7" s="10">
        <v>5</v>
      </c>
      <c r="B7" s="13" t="s">
        <v>33</v>
      </c>
      <c r="C7" s="13">
        <v>250</v>
      </c>
      <c r="D7" s="13">
        <v>1020</v>
      </c>
      <c r="E7" s="13">
        <v>1200</v>
      </c>
      <c r="F7" s="13" t="s">
        <v>34</v>
      </c>
      <c r="G7" s="7">
        <f t="shared" si="0"/>
        <v>1224</v>
      </c>
      <c r="H7" s="14">
        <f t="shared" si="1"/>
        <v>428.4</v>
      </c>
      <c r="I7" s="15"/>
    </row>
    <row r="8" ht="28" customHeight="1" spans="1:9">
      <c r="A8" s="4" t="s">
        <v>35</v>
      </c>
      <c r="B8" s="4"/>
      <c r="C8" s="4"/>
      <c r="D8" s="4"/>
      <c r="E8" s="4"/>
      <c r="F8" s="4"/>
      <c r="G8" s="4">
        <f>SUM(G3:G7)</f>
        <v>6153.66</v>
      </c>
      <c r="H8" s="16">
        <f>SUM(H3:H7)</f>
        <v>1725.886512</v>
      </c>
      <c r="I8" s="15"/>
    </row>
  </sheetData>
  <mergeCells count="2">
    <mergeCell ref="A1:I1"/>
    <mergeCell ref="A8:F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35" sqref="D35"/>
    </sheetView>
  </sheetViews>
  <sheetFormatPr defaultColWidth="9" defaultRowHeight="13.5" outlineLevelRow="3"/>
  <cols>
    <col min="1" max="1" width="11.375" customWidth="1"/>
    <col min="2" max="2" width="14.5" customWidth="1"/>
    <col min="3" max="6" width="12.625" customWidth="1"/>
    <col min="7" max="7" width="22.875" customWidth="1"/>
    <col min="8" max="8" width="11.375" customWidth="1"/>
    <col min="9" max="9" width="16.25" customWidth="1"/>
  </cols>
  <sheetData>
    <row r="1" ht="51" customHeight="1" spans="1:9">
      <c r="A1" s="2" t="s">
        <v>36</v>
      </c>
      <c r="B1" s="3"/>
      <c r="C1" s="3"/>
      <c r="D1" s="3"/>
      <c r="E1" s="3"/>
      <c r="F1" s="3"/>
      <c r="G1" s="3"/>
      <c r="H1" s="3"/>
      <c r="I1" s="3"/>
    </row>
    <row r="2" s="1" customFormat="1" ht="24" customHeight="1" spans="1:9">
      <c r="A2" s="4" t="s">
        <v>37</v>
      </c>
      <c r="B2" s="5" t="s">
        <v>2</v>
      </c>
      <c r="C2" s="5" t="s">
        <v>38</v>
      </c>
      <c r="D2" s="5" t="s">
        <v>39</v>
      </c>
      <c r="E2" s="5" t="s">
        <v>7</v>
      </c>
      <c r="F2" s="5" t="s">
        <v>40</v>
      </c>
      <c r="G2" s="5" t="s">
        <v>5</v>
      </c>
      <c r="H2" s="5" t="s">
        <v>41</v>
      </c>
      <c r="I2" s="6" t="s">
        <v>12</v>
      </c>
    </row>
    <row r="3" customFormat="1" ht="22" customHeight="1" spans="1:9">
      <c r="A3" s="7" t="s">
        <v>42</v>
      </c>
      <c r="B3" s="28" t="s">
        <v>43</v>
      </c>
      <c r="C3" s="8">
        <v>125</v>
      </c>
      <c r="D3" s="9">
        <v>960</v>
      </c>
      <c r="E3" s="8">
        <v>2000</v>
      </c>
      <c r="F3" s="5" t="s">
        <v>44</v>
      </c>
      <c r="G3" s="8" t="s">
        <v>45</v>
      </c>
      <c r="H3" s="4" t="s">
        <v>46</v>
      </c>
      <c r="I3" s="4" t="s">
        <v>47</v>
      </c>
    </row>
    <row r="4" customFormat="1" ht="22" customHeight="1" spans="1:9">
      <c r="A4" s="7" t="s">
        <v>42</v>
      </c>
      <c r="B4" s="28" t="s">
        <v>43</v>
      </c>
      <c r="C4" s="8">
        <v>125</v>
      </c>
      <c r="D4" s="9">
        <v>960</v>
      </c>
      <c r="E4" s="8">
        <v>2000</v>
      </c>
      <c r="F4" s="5" t="s">
        <v>44</v>
      </c>
      <c r="G4" s="8" t="s">
        <v>48</v>
      </c>
      <c r="H4" s="4"/>
      <c r="I4" s="4" t="s">
        <v>49</v>
      </c>
    </row>
  </sheetData>
  <mergeCells count="1">
    <mergeCell ref="A1:I1"/>
  </mergeCells>
  <conditionalFormatting sqref="G2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I28" sqref="I28"/>
    </sheetView>
  </sheetViews>
  <sheetFormatPr defaultColWidth="9" defaultRowHeight="13.5" outlineLevelRow="4"/>
  <cols>
    <col min="1" max="1" width="11.375" customWidth="1"/>
    <col min="2" max="2" width="14.5" customWidth="1"/>
    <col min="3" max="6" width="12.625" customWidth="1"/>
    <col min="7" max="7" width="22.875" customWidth="1"/>
    <col min="8" max="8" width="11.375" customWidth="1"/>
    <col min="9" max="9" width="16.25" customWidth="1"/>
  </cols>
  <sheetData>
    <row r="1" customFormat="1" ht="51" customHeight="1" spans="1:9">
      <c r="A1" s="2" t="s">
        <v>50</v>
      </c>
      <c r="B1" s="3"/>
      <c r="C1" s="3"/>
      <c r="D1" s="3"/>
      <c r="E1" s="3"/>
      <c r="F1" s="3"/>
      <c r="G1" s="3"/>
      <c r="H1" s="3"/>
      <c r="I1" s="3"/>
    </row>
    <row r="2" s="1" customFormat="1" ht="24" customHeight="1" spans="1:9">
      <c r="A2" s="4" t="s">
        <v>37</v>
      </c>
      <c r="B2" s="5" t="s">
        <v>2</v>
      </c>
      <c r="C2" s="5" t="s">
        <v>38</v>
      </c>
      <c r="D2" s="5" t="s">
        <v>39</v>
      </c>
      <c r="E2" s="5" t="s">
        <v>7</v>
      </c>
      <c r="F2" s="5" t="s">
        <v>40</v>
      </c>
      <c r="G2" s="5" t="s">
        <v>5</v>
      </c>
      <c r="H2" s="5" t="s">
        <v>41</v>
      </c>
      <c r="I2" s="6" t="s">
        <v>12</v>
      </c>
    </row>
    <row r="3" customFormat="1" ht="22" customHeight="1" spans="1:9">
      <c r="A3" s="7" t="s">
        <v>42</v>
      </c>
      <c r="B3" s="28" t="s">
        <v>43</v>
      </c>
      <c r="C3" s="8">
        <v>125</v>
      </c>
      <c r="D3" s="9">
        <v>960</v>
      </c>
      <c r="E3" s="8">
        <v>2000</v>
      </c>
      <c r="F3" s="5" t="s">
        <v>44</v>
      </c>
      <c r="G3" s="8" t="s">
        <v>45</v>
      </c>
      <c r="H3" s="4" t="s">
        <v>46</v>
      </c>
      <c r="I3" s="4" t="s">
        <v>47</v>
      </c>
    </row>
    <row r="4" customFormat="1" ht="22" customHeight="1" spans="1:9">
      <c r="A4" s="7" t="s">
        <v>42</v>
      </c>
      <c r="B4" s="28" t="s">
        <v>43</v>
      </c>
      <c r="C4" s="8">
        <v>125</v>
      </c>
      <c r="D4" s="9">
        <v>960</v>
      </c>
      <c r="E4" s="8">
        <v>2000</v>
      </c>
      <c r="F4" s="5" t="s">
        <v>44</v>
      </c>
      <c r="G4" s="8" t="s">
        <v>51</v>
      </c>
      <c r="H4" s="4" t="s">
        <v>52</v>
      </c>
      <c r="I4" s="4" t="s">
        <v>47</v>
      </c>
    </row>
    <row r="5" customFormat="1" ht="22" customHeight="1" spans="1:9">
      <c r="A5" s="7" t="s">
        <v>42</v>
      </c>
      <c r="B5" s="28" t="s">
        <v>43</v>
      </c>
      <c r="C5" s="8">
        <v>125</v>
      </c>
      <c r="D5" s="9">
        <v>960</v>
      </c>
      <c r="E5" s="8">
        <v>2000</v>
      </c>
      <c r="F5" s="5" t="s">
        <v>44</v>
      </c>
      <c r="G5" s="8" t="s">
        <v>48</v>
      </c>
      <c r="H5" s="4"/>
      <c r="I5" s="4" t="s">
        <v>49</v>
      </c>
    </row>
  </sheetData>
  <mergeCells count="1">
    <mergeCell ref="A1:I1"/>
  </mergeCells>
  <conditionalFormatting sqref="G2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I20" sqref="I20"/>
    </sheetView>
  </sheetViews>
  <sheetFormatPr defaultColWidth="9" defaultRowHeight="13.5" outlineLevelRow="3" outlineLevelCol="5"/>
  <cols>
    <col min="1" max="1" width="11.375" customWidth="1"/>
    <col min="2" max="2" width="18.125" customWidth="1"/>
    <col min="3" max="3" width="20.875" customWidth="1"/>
    <col min="4" max="5" width="16.375" customWidth="1"/>
    <col min="6" max="6" width="16.25" customWidth="1"/>
  </cols>
  <sheetData>
    <row r="1" customFormat="1" ht="51" customHeight="1" spans="1:6">
      <c r="A1" s="2" t="s">
        <v>53</v>
      </c>
      <c r="B1" s="3"/>
      <c r="C1" s="3"/>
      <c r="D1" s="3"/>
      <c r="E1" s="3"/>
      <c r="F1" s="3"/>
    </row>
    <row r="2" s="1" customFormat="1" ht="24" customHeight="1" spans="1:6">
      <c r="A2" s="4" t="s">
        <v>37</v>
      </c>
      <c r="B2" s="5" t="s">
        <v>54</v>
      </c>
      <c r="C2" s="5" t="s">
        <v>55</v>
      </c>
      <c r="D2" s="5" t="s">
        <v>56</v>
      </c>
      <c r="E2" s="5" t="s">
        <v>57</v>
      </c>
      <c r="F2" s="6" t="s">
        <v>12</v>
      </c>
    </row>
    <row r="3" customFormat="1" ht="31" customHeight="1" spans="1:6">
      <c r="A3" s="7" t="s">
        <v>42</v>
      </c>
      <c r="B3" s="8" t="s">
        <v>58</v>
      </c>
      <c r="C3" s="8">
        <v>150</v>
      </c>
      <c r="D3" s="5" t="s">
        <v>59</v>
      </c>
      <c r="E3" s="5" t="s">
        <v>60</v>
      </c>
      <c r="F3" s="4"/>
    </row>
    <row r="4" customFormat="1" ht="30" customHeight="1" spans="1:6">
      <c r="A4" s="7" t="s">
        <v>42</v>
      </c>
      <c r="B4" s="8" t="s">
        <v>61</v>
      </c>
      <c r="C4" s="8">
        <v>150</v>
      </c>
      <c r="D4" s="5" t="s">
        <v>62</v>
      </c>
      <c r="E4" s="5" t="s">
        <v>63</v>
      </c>
      <c r="F4" s="4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L13" sqref="L13"/>
    </sheetView>
  </sheetViews>
  <sheetFormatPr defaultColWidth="9" defaultRowHeight="13.5" outlineLevelRow="5" outlineLevelCol="4"/>
  <cols>
    <col min="1" max="1" width="17.625" customWidth="1"/>
    <col min="2" max="2" width="18.875" customWidth="1"/>
    <col min="3" max="3" width="19.875" customWidth="1"/>
    <col min="4" max="4" width="22.125" customWidth="1"/>
    <col min="5" max="5" width="16.25" customWidth="1"/>
  </cols>
  <sheetData>
    <row r="1" customFormat="1" ht="51" customHeight="1" spans="1:5">
      <c r="A1" s="2" t="s">
        <v>64</v>
      </c>
      <c r="B1" s="3"/>
      <c r="C1" s="3"/>
      <c r="D1" s="3"/>
      <c r="E1" s="3"/>
    </row>
    <row r="2" s="1" customFormat="1" ht="24" customHeight="1" spans="1:5">
      <c r="A2" s="4" t="s">
        <v>37</v>
      </c>
      <c r="B2" s="5" t="s">
        <v>54</v>
      </c>
      <c r="C2" s="5" t="s">
        <v>65</v>
      </c>
      <c r="D2" s="5" t="s">
        <v>56</v>
      </c>
      <c r="E2" s="6" t="s">
        <v>12</v>
      </c>
    </row>
    <row r="3" customFormat="1" ht="31" customHeight="1" spans="1:5">
      <c r="A3" s="7" t="s">
        <v>42</v>
      </c>
      <c r="B3" s="8" t="s">
        <v>58</v>
      </c>
      <c r="C3" s="8">
        <v>150</v>
      </c>
      <c r="D3" s="5" t="s">
        <v>59</v>
      </c>
      <c r="E3" s="4"/>
    </row>
    <row r="4" customFormat="1" ht="30" customHeight="1" spans="1:5">
      <c r="A4" s="7" t="s">
        <v>42</v>
      </c>
      <c r="B4" s="8" t="s">
        <v>61</v>
      </c>
      <c r="C4" s="8">
        <v>150</v>
      </c>
      <c r="D4" s="5" t="s">
        <v>62</v>
      </c>
      <c r="E4" s="4"/>
    </row>
    <row r="5" customFormat="1" ht="30" customHeight="1" spans="1:5">
      <c r="A5" s="7" t="s">
        <v>42</v>
      </c>
      <c r="B5" s="8" t="s">
        <v>66</v>
      </c>
      <c r="C5" s="8">
        <v>150</v>
      </c>
      <c r="D5" s="5" t="s">
        <v>67</v>
      </c>
      <c r="E5" s="4"/>
    </row>
    <row r="6" customFormat="1" ht="30" customHeight="1" spans="1:5">
      <c r="A6" s="7" t="s">
        <v>42</v>
      </c>
      <c r="B6" s="8" t="s">
        <v>68</v>
      </c>
      <c r="C6" s="8">
        <v>150</v>
      </c>
      <c r="D6" s="5" t="s">
        <v>67</v>
      </c>
      <c r="E6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生产报表</vt:lpstr>
      <vt:lpstr>现有成品库存表</vt:lpstr>
      <vt:lpstr>原膜汇总表</vt:lpstr>
      <vt:lpstr>现有原膜库存表</vt:lpstr>
      <vt:lpstr>原液来料汇总报表</vt:lpstr>
      <vt:lpstr>现有涂液库存表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xinqiao</dc:creator>
  <cp:lastModifiedBy>杰普顺石膏线-赵18720039789</cp:lastModifiedBy>
  <dcterms:created xsi:type="dcterms:W3CDTF">2023-05-12T11:15:00Z</dcterms:created>
  <dcterms:modified xsi:type="dcterms:W3CDTF">2026-08-01T02:41:34Z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368225ECF7CE4125B02200E406E7358D_12</vt:lpwstr>
  </property>
  <property fmtid="{D5CDD505-2E9C-101B-9397-08002B2CF9AE}" pid="4" name="CalculationRule">
    <vt:i4>0</vt:i4>
  </property>
</Properties>
</file>